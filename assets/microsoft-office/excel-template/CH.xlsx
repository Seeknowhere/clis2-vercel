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ffrey V Huelgas\Desktop\New version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" i="1" l="1"/>
  <c r="B28" i="1"/>
  <c r="B27" i="1"/>
  <c r="B22" i="1"/>
  <c r="B20" i="1"/>
  <c r="B19" i="1"/>
  <c r="B18" i="1"/>
  <c r="B17" i="1"/>
  <c r="B16" i="1"/>
  <c r="B15" i="1"/>
  <c r="B14" i="1"/>
  <c r="E5" i="1"/>
</calcChain>
</file>

<file path=xl/sharedStrings.xml><?xml version="1.0" encoding="utf-8"?>
<sst xmlns="http://schemas.openxmlformats.org/spreadsheetml/2006/main" count="70" uniqueCount="67">
  <si>
    <t xml:space="preserve"> </t>
  </si>
  <si>
    <t xml:space="preserve">       ST. EZEKIEL MORENO CLINICAL LABORATORY</t>
  </si>
  <si>
    <t xml:space="preserve">                                   Prk. St. Ezekiel Moreno, Phase III, Brgy Handumanan, Bacolod City</t>
  </si>
  <si>
    <t>Last Meal:</t>
  </si>
  <si>
    <t>Time Taken:</t>
  </si>
  <si>
    <t>Date:</t>
  </si>
  <si>
    <r>
      <t xml:space="preserve">  </t>
    </r>
    <r>
      <rPr>
        <b/>
        <sz val="11"/>
        <color theme="1"/>
        <rFont val="Cambria"/>
      </rPr>
      <t>BLOOD  CHEMISTRY I</t>
    </r>
  </si>
  <si>
    <t>Name:</t>
  </si>
  <si>
    <t>Age:</t>
  </si>
  <si>
    <t>Address:</t>
  </si>
  <si>
    <t>BRGY. HANDUMANAN, BACOLOD CITY</t>
  </si>
  <si>
    <t xml:space="preserve">Gender: </t>
  </si>
  <si>
    <t>Physician:</t>
  </si>
  <si>
    <t>Test Requested:</t>
  </si>
  <si>
    <t/>
  </si>
  <si>
    <t>Examinations:</t>
  </si>
  <si>
    <t xml:space="preserve">       INTERNATIONAL UNITS</t>
  </si>
  <si>
    <t xml:space="preserve">                    CONVENTIONAL UNIT</t>
  </si>
  <si>
    <t>RESULT</t>
  </si>
  <si>
    <t>Reference Values</t>
  </si>
  <si>
    <t>BUN</t>
  </si>
  <si>
    <t>2.5-6.4 mmol/L</t>
  </si>
  <si>
    <t xml:space="preserve">   7-18        mg/dl</t>
  </si>
  <si>
    <t>Cholesterol</t>
  </si>
  <si>
    <t>3.89-5.96mmol/L</t>
  </si>
  <si>
    <t xml:space="preserve"> 150-230  mg/dl</t>
  </si>
  <si>
    <t>Creatinine</t>
  </si>
  <si>
    <t>44.2-150.28 umol/L</t>
  </si>
  <si>
    <t xml:space="preserve">  0.5-1.7     mg/dl</t>
  </si>
  <si>
    <t>FBS</t>
  </si>
  <si>
    <t>3.85-5.5mmol/L</t>
  </si>
  <si>
    <t xml:space="preserve">  70-100    mg/dl</t>
  </si>
  <si>
    <t xml:space="preserve">                                 </t>
  </si>
  <si>
    <t>HDL-Cholesterol</t>
  </si>
  <si>
    <t>M: 0.78-1.55 mmol/L</t>
  </si>
  <si>
    <t>M:30-60    mg/dl</t>
  </si>
  <si>
    <t>F:1.03-1.81 mmol/L</t>
  </si>
  <si>
    <t>F:40-70     mg/dl</t>
  </si>
  <si>
    <t>LDL-Cholesterol</t>
  </si>
  <si>
    <t>1.55-5.44  mmol/L</t>
  </si>
  <si>
    <t xml:space="preserve">  60-210    mg/dl</t>
  </si>
  <si>
    <t>2Hrs Post-Prandial</t>
  </si>
  <si>
    <t>&lt;6.60    mmol/L</t>
  </si>
  <si>
    <t>RBS</t>
  </si>
  <si>
    <t xml:space="preserve">                mmol/L</t>
  </si>
  <si>
    <t xml:space="preserve">                   mg/dl</t>
  </si>
  <si>
    <t>SGOT/AST</t>
  </si>
  <si>
    <t xml:space="preserve">     M: 0-40 U/L</t>
  </si>
  <si>
    <t xml:space="preserve">      F:  0-40U/L</t>
  </si>
  <si>
    <t>SGPT/ALT</t>
  </si>
  <si>
    <t xml:space="preserve">     M:  0-38 U/L</t>
  </si>
  <si>
    <t xml:space="preserve">      F:  0-38U/L</t>
  </si>
  <si>
    <t>Triglyceride</t>
  </si>
  <si>
    <t xml:space="preserve">     0.7-2.8 mmol/L</t>
  </si>
  <si>
    <t>61.0-243.5  mg/dl</t>
  </si>
  <si>
    <t>Uric Acid</t>
  </si>
  <si>
    <t xml:space="preserve"> F:143-357 umol/L</t>
  </si>
  <si>
    <t>2.4-6.0          mg/dl</t>
  </si>
  <si>
    <t xml:space="preserve"> M:202-417 umol/L</t>
  </si>
  <si>
    <t>3.4-7.0          mg/dl</t>
  </si>
  <si>
    <t>.</t>
  </si>
  <si>
    <t>ANN DENISE N. JACOBO, RMT</t>
  </si>
  <si>
    <t>LENI G. MONTES, MD, FPSP</t>
  </si>
  <si>
    <t>License No. 79657</t>
  </si>
  <si>
    <t>License No. 77395</t>
  </si>
  <si>
    <t>Medical Technologist</t>
  </si>
  <si>
    <t xml:space="preserve">  Pathologist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</si>
</sst>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  <family val="2"/>
      <scheme val="minor"/>
    </font>
    <font>
      <sz val="9"/>
      <color theme="1"/>
      <name val="Calibri"/>
    </font>
    <font>
      <b/>
      <sz val="9"/>
      <color theme="1"/>
      <name val="Gentium Basic"/>
    </font>
    <font>
      <b/>
      <sz val="9"/>
      <color theme="1"/>
      <name val="Calibri"/>
    </font>
    <font>
      <b/>
      <sz val="8"/>
      <color rgb="FF000000"/>
      <name val="Calibri"/>
    </font>
    <font>
      <sz val="11"/>
      <color theme="1"/>
      <name val="Cambria"/>
    </font>
    <font>
      <b/>
      <sz val="11"/>
      <color theme="1"/>
      <name val="Cambria"/>
    </font>
    <font>
      <sz val="11"/>
      <name val="Arial"/>
    </font>
    <font>
      <b/>
      <sz val="9"/>
      <color theme="1"/>
      <name val="Cambria"/>
    </font>
    <font>
      <b/>
      <u/>
      <sz val="9"/>
      <color theme="1"/>
      <name val="Calibri"/>
    </font>
    <font>
      <b/>
      <sz val="9"/>
      <color theme="0"/>
      <name val="Calibri"/>
    </font>
    <font>
      <sz val="9"/>
      <color theme="1"/>
      <name val="Cambria"/>
    </font>
    <font>
      <b/>
      <sz val="9"/>
      <color rgb="FF0C0C0C"/>
      <name val="Calibri"/>
    </font>
    <font>
      <b/>
      <sz val="9"/>
      <name val="Arial"/>
    </font>
    <font>
      <sz val="9"/>
      <color theme="0"/>
      <name val="Calibri"/>
    </font>
    <font>
      <b/>
      <sz val="10"/>
      <color theme="1"/>
      <name val="Calibri"/>
    </font>
    <font>
      <b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0" fillId="0" borderId="0" xfId="0" applyFont="1" applyAlignment="1"/>
    <xf numFmtId="0" fontId="0" fillId="0" borderId="0" xfId="0" applyFont="1" applyAlignme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8" fontId="1" fillId="0" borderId="1" xfId="0" applyNumberFormat="1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/>
    <xf numFmtId="0" fontId="3" fillId="0" borderId="3" xfId="0" applyFont="1" applyBorder="1" applyAlignment="1">
      <alignment horizontal="left"/>
    </xf>
    <xf numFmtId="0" fontId="7" fillId="0" borderId="3" xfId="0" applyFont="1" applyBorder="1"/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7" fillId="0" borderId="4" xfId="0" applyFont="1" applyBorder="1"/>
    <xf numFmtId="0" fontId="3" fillId="0" borderId="4" xfId="0" applyFont="1" applyBorder="1"/>
    <xf numFmtId="0" fontId="4" fillId="0" borderId="4" xfId="0" applyFont="1" applyBorder="1" applyAlignment="1">
      <alignment horizontal="left"/>
    </xf>
    <xf numFmtId="0" fontId="1" fillId="0" borderId="0" xfId="0" quotePrefix="1" applyFont="1"/>
    <xf numFmtId="0" fontId="3" fillId="0" borderId="0" xfId="0" applyFont="1" applyAlignment="1">
      <alignment horizontal="right"/>
    </xf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0" xfId="0" applyFont="1"/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5" xfId="0" applyFont="1" applyBorder="1"/>
    <xf numFmtId="2" fontId="10" fillId="0" borderId="6" xfId="0" applyNumberFormat="1" applyFont="1" applyBorder="1" applyAlignment="1">
      <alignment horizontal="center"/>
    </xf>
    <xf numFmtId="0" fontId="11" fillId="0" borderId="5" xfId="0" applyFont="1" applyBorder="1"/>
    <xf numFmtId="0" fontId="12" fillId="0" borderId="6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 wrapText="1"/>
    </xf>
    <xf numFmtId="2" fontId="10" fillId="2" borderId="6" xfId="0" applyNumberFormat="1" applyFont="1" applyFill="1" applyBorder="1" applyAlignment="1">
      <alignment horizontal="center"/>
    </xf>
    <xf numFmtId="0" fontId="13" fillId="0" borderId="6" xfId="0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left" vertical="center"/>
    </xf>
    <xf numFmtId="0" fontId="7" fillId="0" borderId="6" xfId="0" applyFont="1" applyBorder="1"/>
    <xf numFmtId="0" fontId="3" fillId="0" borderId="5" xfId="0" applyFont="1" applyBorder="1" applyAlignment="1">
      <alignment horizontal="center"/>
    </xf>
    <xf numFmtId="0" fontId="14" fillId="0" borderId="6" xfId="0" applyFont="1" applyBorder="1"/>
    <xf numFmtId="0" fontId="10" fillId="0" borderId="6" xfId="0" applyFont="1" applyBorder="1"/>
    <xf numFmtId="2" fontId="10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10" fillId="0" borderId="6" xfId="0" applyFont="1" applyBorder="1" applyAlignment="1">
      <alignment horizontal="center"/>
    </xf>
    <xf numFmtId="0" fontId="7" fillId="0" borderId="12" xfId="0" applyFont="1" applyBorder="1"/>
    <xf numFmtId="0" fontId="7" fillId="0" borderId="13" xfId="0" applyFont="1" applyBorder="1"/>
    <xf numFmtId="0" fontId="14" fillId="0" borderId="0" xfId="0" applyFont="1"/>
    <xf numFmtId="2" fontId="10" fillId="0" borderId="5" xfId="0" applyNumberFormat="1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47625</xdr:rowOff>
    </xdr:from>
    <xdr:ext cx="676275" cy="733425"/>
    <xdr:pic>
      <xdr:nvPicPr>
        <xdr:cNvPr id="2" name="image1.png" descr="Escudo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650" y="47625"/>
          <a:ext cx="676275" cy="7334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sqref="A1:XFD1048576"/>
    </sheetView>
  </sheetViews>
  <sheetFormatPr defaultColWidth="14" defaultRowHeight="15" customHeight="1"/>
  <cols>
    <col min="1" max="1" width="14.44140625" style="4" customWidth="1"/>
    <col min="2" max="2" width="12.21875" style="4" customWidth="1"/>
    <col min="3" max="3" width="16" style="4" customWidth="1"/>
    <col min="4" max="4" width="15.77734375" style="4" customWidth="1"/>
    <col min="5" max="5" width="20" style="4" customWidth="1"/>
    <col min="6" max="6" width="4.33203125" style="4" customWidth="1"/>
    <col min="7" max="8" width="6.77734375" style="4" customWidth="1"/>
    <col min="9" max="10" width="8.88671875" style="4" customWidth="1"/>
    <col min="11" max="26" width="8.44140625" style="4" customWidth="1"/>
    <col min="27" max="16384" width="14" style="4"/>
  </cols>
  <sheetData>
    <row r="1" spans="1:26" ht="12" customHeight="1">
      <c r="A1" s="1" t="s">
        <v>0</v>
      </c>
      <c r="B1" s="2" t="s">
        <v>1</v>
      </c>
      <c r="C1" s="3"/>
      <c r="D1" s="3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5" t="s">
        <v>2</v>
      </c>
      <c r="B2" s="6"/>
      <c r="C2" s="5"/>
      <c r="D2" s="5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>
      <c r="A3" s="1"/>
      <c r="B3" s="1"/>
      <c r="C3" s="1"/>
      <c r="D3" s="1" t="s">
        <v>3</v>
      </c>
      <c r="E3" s="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>
      <c r="A4" s="1"/>
      <c r="B4" s="1"/>
      <c r="C4" s="1"/>
      <c r="D4" s="1" t="s">
        <v>4</v>
      </c>
      <c r="E4" s="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1"/>
      <c r="C5" s="1"/>
      <c r="D5" s="1" t="s">
        <v>5</v>
      </c>
      <c r="E5" s="8">
        <f ca="1">TODAY()</f>
        <v>43937</v>
      </c>
      <c r="F5" s="1"/>
      <c r="G5" s="1"/>
      <c r="H5" s="1"/>
      <c r="I5" s="1"/>
      <c r="J5" s="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6.25" customHeight="1">
      <c r="A6" s="1"/>
      <c r="B6" s="1"/>
      <c r="C6" s="10" t="s">
        <v>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thickBot="1">
      <c r="A7" s="11" t="s">
        <v>7</v>
      </c>
      <c r="B7" s="12"/>
      <c r="C7" s="13"/>
      <c r="D7" s="11" t="s">
        <v>8</v>
      </c>
      <c r="E7" s="14"/>
      <c r="F7" s="11"/>
      <c r="G7" s="11" t="s">
        <v>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 thickBot="1">
      <c r="A8" s="11" t="s">
        <v>9</v>
      </c>
      <c r="B8" s="15" t="s">
        <v>10</v>
      </c>
      <c r="C8" s="16"/>
      <c r="D8" s="11" t="s">
        <v>11</v>
      </c>
      <c r="E8" s="17"/>
      <c r="F8" s="11"/>
      <c r="G8" s="1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customHeight="1" thickBot="1">
      <c r="A9" s="11" t="s">
        <v>12</v>
      </c>
      <c r="B9" s="18"/>
      <c r="C9" s="16"/>
      <c r="D9" s="11" t="s">
        <v>13</v>
      </c>
      <c r="E9" s="14"/>
      <c r="F9" s="11"/>
      <c r="G9" s="1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thickBot="1">
      <c r="A10" s="1"/>
      <c r="B10" s="19" t="s">
        <v>14</v>
      </c>
      <c r="C10" s="1"/>
      <c r="D10" s="20"/>
      <c r="E10" s="1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>
      <c r="A12" s="21" t="s">
        <v>15</v>
      </c>
      <c r="B12" s="11" t="s">
        <v>16</v>
      </c>
      <c r="C12" s="1"/>
      <c r="D12" s="11" t="s">
        <v>17</v>
      </c>
      <c r="E12" s="1"/>
      <c r="F12" s="1"/>
      <c r="G12" s="2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9.25" customHeight="1">
      <c r="A13" s="23"/>
      <c r="B13" s="24" t="s">
        <v>18</v>
      </c>
      <c r="C13" s="25" t="s">
        <v>19</v>
      </c>
      <c r="D13" s="24"/>
      <c r="E13" s="25" t="s">
        <v>19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26" t="s">
        <v>20</v>
      </c>
      <c r="B14" s="27">
        <f>D14*0.357</f>
        <v>0</v>
      </c>
      <c r="C14" s="28" t="s">
        <v>21</v>
      </c>
      <c r="D14" s="29"/>
      <c r="E14" s="30" t="s">
        <v>22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26" t="s">
        <v>23</v>
      </c>
      <c r="B15" s="31">
        <f>D15*0.0259</f>
        <v>3.8849999999999998</v>
      </c>
      <c r="C15" s="28" t="s">
        <v>24</v>
      </c>
      <c r="D15" s="32">
        <v>150</v>
      </c>
      <c r="E15" s="30" t="s">
        <v>25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>
      <c r="A16" s="26" t="s">
        <v>26</v>
      </c>
      <c r="B16" s="31">
        <f>D16*88.4</f>
        <v>0</v>
      </c>
      <c r="C16" s="30" t="s">
        <v>27</v>
      </c>
      <c r="D16" s="33"/>
      <c r="E16" s="30" t="s">
        <v>28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>
      <c r="A17" s="26" t="s">
        <v>29</v>
      </c>
      <c r="B17" s="31">
        <f>D17*0.055</f>
        <v>0</v>
      </c>
      <c r="C17" s="30" t="s">
        <v>30</v>
      </c>
      <c r="D17" s="34"/>
      <c r="E17" s="30" t="s">
        <v>31</v>
      </c>
      <c r="F17" s="1"/>
      <c r="G17" s="1"/>
      <c r="H17" s="1" t="s">
        <v>32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>
      <c r="A18" s="35" t="s">
        <v>33</v>
      </c>
      <c r="B18" s="31">
        <f t="shared" ref="B18:B20" si="0">D18*0.0259</f>
        <v>0</v>
      </c>
      <c r="C18" s="28" t="s">
        <v>34</v>
      </c>
      <c r="D18" s="33"/>
      <c r="E18" s="30" t="s">
        <v>35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>
      <c r="A19" s="36"/>
      <c r="B19" s="31">
        <f t="shared" si="0"/>
        <v>0</v>
      </c>
      <c r="C19" s="30" t="s">
        <v>36</v>
      </c>
      <c r="D19" s="37"/>
      <c r="E19" s="30" t="s">
        <v>37</v>
      </c>
      <c r="F19" s="1"/>
      <c r="G19" s="1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>
      <c r="A20" s="26" t="s">
        <v>38</v>
      </c>
      <c r="B20" s="31">
        <f t="shared" si="0"/>
        <v>0</v>
      </c>
      <c r="C20" s="30" t="s">
        <v>39</v>
      </c>
      <c r="D20" s="33"/>
      <c r="E20" s="30" t="s">
        <v>40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>
      <c r="A21" s="26" t="s">
        <v>41</v>
      </c>
      <c r="B21" s="38"/>
      <c r="C21" s="30" t="s">
        <v>42</v>
      </c>
      <c r="D21" s="39"/>
      <c r="E21" s="30" t="s">
        <v>0</v>
      </c>
      <c r="F21" s="1"/>
      <c r="G21" s="2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>
      <c r="A22" s="26" t="s">
        <v>43</v>
      </c>
      <c r="B22" s="40">
        <f>D22*0.055</f>
        <v>0</v>
      </c>
      <c r="C22" s="30" t="s">
        <v>44</v>
      </c>
      <c r="D22" s="41"/>
      <c r="E22" s="30" t="s">
        <v>45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>
      <c r="A23" s="35" t="s">
        <v>46</v>
      </c>
      <c r="B23" s="42"/>
      <c r="C23" s="30" t="s">
        <v>47</v>
      </c>
      <c r="D23" s="43"/>
      <c r="E23" s="44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>
      <c r="A24" s="36"/>
      <c r="B24" s="42"/>
      <c r="C24" s="30" t="s">
        <v>48</v>
      </c>
      <c r="D24" s="45"/>
      <c r="E24" s="4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>
      <c r="A25" s="35" t="s">
        <v>49</v>
      </c>
      <c r="B25" s="47"/>
      <c r="C25" s="30" t="s">
        <v>50</v>
      </c>
      <c r="D25" s="45"/>
      <c r="E25" s="4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>
      <c r="A26" s="36"/>
      <c r="B26" s="33"/>
      <c r="C26" s="30" t="s">
        <v>51</v>
      </c>
      <c r="D26" s="48"/>
      <c r="E26" s="49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26" t="s">
        <v>52</v>
      </c>
      <c r="B27" s="27">
        <f>D27*0.0113</f>
        <v>0</v>
      </c>
      <c r="C27" s="30" t="s">
        <v>53</v>
      </c>
      <c r="D27" s="34"/>
      <c r="E27" s="30" t="s">
        <v>54</v>
      </c>
      <c r="F27" s="1"/>
      <c r="G27" s="50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35" t="s">
        <v>55</v>
      </c>
      <c r="B28" s="51">
        <f t="shared" ref="B28:B29" si="1">D28*59.5</f>
        <v>0</v>
      </c>
      <c r="C28" s="30" t="s">
        <v>56</v>
      </c>
      <c r="D28" s="52"/>
      <c r="E28" s="30" t="s">
        <v>57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36"/>
      <c r="B29" s="51">
        <f t="shared" si="1"/>
        <v>0</v>
      </c>
      <c r="C29" s="30" t="s">
        <v>58</v>
      </c>
      <c r="D29" s="52"/>
      <c r="E29" s="30" t="s">
        <v>59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>
      <c r="A30" s="11"/>
      <c r="B30" s="1"/>
      <c r="C30" s="1"/>
      <c r="D30" s="1" t="s">
        <v>60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" customHeight="1">
      <c r="A31" s="11"/>
      <c r="B31" s="11"/>
      <c r="C31" s="1"/>
      <c r="D31" s="11"/>
      <c r="E31" s="11"/>
      <c r="F31" s="1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>
      <c r="A32" s="53" t="s">
        <v>61</v>
      </c>
      <c r="B32" s="3"/>
      <c r="C32" s="3"/>
      <c r="D32" s="53" t="s">
        <v>62</v>
      </c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>
      <c r="A33" s="53" t="s">
        <v>63</v>
      </c>
      <c r="B33" s="3"/>
      <c r="C33" s="3"/>
      <c r="D33" s="53" t="s">
        <v>64</v>
      </c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>
      <c r="A34" s="54" t="s">
        <v>65</v>
      </c>
      <c r="B34" s="3"/>
      <c r="C34" s="3"/>
      <c r="D34" s="55" t="s">
        <v>66</v>
      </c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A28:A29"/>
    <mergeCell ref="A32:C32"/>
    <mergeCell ref="D32:F32"/>
    <mergeCell ref="A33:C33"/>
    <mergeCell ref="D33:F33"/>
    <mergeCell ref="A34:C34"/>
    <mergeCell ref="D34:F34"/>
    <mergeCell ref="B1:E1"/>
    <mergeCell ref="B7:C7"/>
    <mergeCell ref="B8:C8"/>
    <mergeCell ref="B9:C9"/>
    <mergeCell ref="A18:A19"/>
    <mergeCell ref="A23:A24"/>
    <mergeCell ref="D23:E26"/>
    <mergeCell ref="A25:A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V Huelgas</dc:creator>
  <cp:lastModifiedBy>Jeffrey V Huelgas</cp:lastModifiedBy>
  <dcterms:created xsi:type="dcterms:W3CDTF">2020-04-16T14:26:02Z</dcterms:created>
  <dcterms:modified xsi:type="dcterms:W3CDTF">2020-04-16T14:26:25Z</dcterms:modified>
</cp:coreProperties>
</file>